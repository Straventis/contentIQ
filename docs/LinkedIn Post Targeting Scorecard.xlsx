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ights" sheetId="1" state="visible" r:id="rId3"/>
    <sheet name="Post Scor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<sst xmlns="http://schemas.openxmlformats.org/spreadsheetml/2006/main" count="75" uniqueCount="66">
  <si>
    <t xml:space="preserve">LinkedIn Post Targeting Scorecard — Weights</t>
  </si>
  <si>
    <t xml:space="preserve">Edit the Weight column (blue cells). Weights must sum to 100%. Adjust anytime, the scorer on Sheet 2 recalculates automatically.</t>
  </si>
  <si>
    <t xml:space="preserve">Factor</t>
  </si>
  <si>
    <t xml:space="preserve">Weight</t>
  </si>
  <si>
    <t xml:space="preserve">What it measures</t>
  </si>
  <si>
    <t xml:space="preserve">Score 5 (high) means...</t>
  </si>
  <si>
    <t xml:space="preserve">Score 1 (low) means...</t>
  </si>
  <si>
    <t xml:space="preserve">Personal Story Fit</t>
  </si>
  <si>
    <t xml:space="preserve">Do you have a real, specific, true detail or story to anchor a comment?</t>
  </si>
  <si>
    <t xml:space="preserve">You have a concrete, verifiable personal experience directly on-topic</t>
  </si>
  <si>
    <t xml:space="preserve">You'd be forcing a generic reaction with no real anchor</t>
  </si>
  <si>
    <t xml:space="preserve">Job Search Relevance</t>
  </si>
  <si>
    <t xml:space="preserve">Is the poster, or their company, useful to your active job search?</t>
  </si>
  <si>
    <t xml:space="preserve">Poster is at a target company, or is a hiring manager/recruiter/Director+</t>
  </si>
  <si>
    <t xml:space="preserve">No connection to any company, role, or person relevant to your search</t>
  </si>
  <si>
    <t xml:space="preserve">Visibility Opportunity</t>
  </si>
  <si>
    <t xml:space="preserve">How much room is there for your comment to actually stand out?</t>
  </si>
  <si>
    <t xml:space="preserve">0–2 existing comments, you'd be an early, visible voice</t>
  </si>
  <si>
    <t xml:space="preserve">50+ comments already, yours gets buried</t>
  </si>
  <si>
    <t xml:space="preserve">Poster Reach &amp; Authority</t>
  </si>
  <si>
    <t xml:space="preserve">Follower count and seniority of the person posting</t>
  </si>
  <si>
    <t xml:space="preserve">1k+ followers and a senior/decision-making title</t>
  </si>
  <si>
    <t xml:space="preserve">Small following, junior or unclear role</t>
  </si>
  <si>
    <t xml:space="preserve">Topical Pillar Fit</t>
  </si>
  <si>
    <t xml:space="preserve">Does the post match one of your 9 ContentIQ pillars?</t>
  </si>
  <si>
    <t xml:space="preserve">Clean match to a core pillar (e.g. Platform Engineering, AI/ML)</t>
  </si>
  <si>
    <t xml:space="preserve">Doesn't fit any current pillar</t>
  </si>
  <si>
    <t xml:space="preserve">Recency / Momentum</t>
  </si>
  <si>
    <t xml:space="preserve">Is the post still actively surfacing in your feed, or already dead?</t>
  </si>
  <si>
    <t xml:space="preserve">Still gaining reactions/comments, algorithm is still pushing it</t>
  </si>
  <si>
    <t xml:space="preserve">Days old and reactions have flatlined</t>
  </si>
  <si>
    <t xml:space="preserve">TOTAL</t>
  </si>
  <si>
    <t xml:space="preserve">Status:</t>
  </si>
  <si>
    <t xml:space="preserve">Post Scorer — fill in blue cells for each saved post, ranked list builds itself</t>
  </si>
  <si>
    <t xml:space="preserve">Score each factor 1 (low) to 5 (high) using the guide on the Weights tab. Weighted Score and Rank calculate automatically.</t>
  </si>
  <si>
    <t xml:space="preserve">Post / Author</t>
  </si>
  <si>
    <t xml:space="preserve">Company</t>
  </si>
  <si>
    <t xml:space="preserve">Poster Title</t>
  </si>
  <si>
    <t xml:space="preserve">Followers (poster)</t>
  </si>
  <si>
    <t xml:space="preserve">Comments so far</t>
  </si>
  <si>
    <t xml:space="preserve">Date seen in feed</t>
  </si>
  <si>
    <t xml:space="preserve">Personal Story Fit (1-5)</t>
  </si>
  <si>
    <t xml:space="preserve">Job Search Relevance (1-5)</t>
  </si>
  <si>
    <t xml:space="preserve">Visibility Opportunity (1-5)</t>
  </si>
  <si>
    <t xml:space="preserve">Poster Reach &amp; Authority (1-5)</t>
  </si>
  <si>
    <t xml:space="preserve">Topical Pillar Fit (1-5)</t>
  </si>
  <si>
    <t xml:space="preserve">Recency / Momentum (1-5)</t>
  </si>
  <si>
    <t xml:space="preserve">Weighted Score</t>
  </si>
  <si>
    <t xml:space="preserve">Rank</t>
  </si>
  <si>
    <t xml:space="preserve">Comment? (Top 2)</t>
  </si>
  <si>
    <t xml:space="preserve">Danielle Romanoff — AI Strategy &amp; ROI post</t>
  </si>
  <si>
    <t xml:space="preserve">WVU Rockefeller Neuroscience</t>
  </si>
  <si>
    <t xml:space="preserve">Director of Data Science</t>
  </si>
  <si>
    <t xml:space="preserve">2026-07-26</t>
  </si>
  <si>
    <t xml:space="preserve">My post — "Microsoft Didn't Wait for the Open Weight Debate to Resolve" (a16z/Meta/NVIDIA coalition)</t>
  </si>
  <si>
    <t xml:space="preserve">Self / Straventis</t>
  </si>
  <si>
    <t xml:space="preserve">Principal Product &amp; Program Leader (me)</t>
  </si>
  <si>
    <t xml:space="preserve">2026-07-24</t>
  </si>
  <si>
    <t xml:space="preserve">My post — "Hughes was basically the 1940s Elon Musk" (historical parallel, viral hook)</t>
  </si>
  <si>
    <t xml:space="preserve">2026-07-14</t>
  </si>
  <si>
    <t xml:space="preserve">My post — "Platform Thinking. I've noticed a pattern across every platform I've worked on."</t>
  </si>
  <si>
    <t xml:space="preserve">2026-07-09</t>
  </si>
  <si>
    <t xml:space="preserve">My post — "Jeff's framework assumes you're free to ask..." (reactive commentary on manufacturing orgs)</t>
  </si>
  <si>
    <t xml:space="preserve">My post — "Found an Old Friend on Caterpillar's Website Today" (In-Cylinder Pressure Sensor 443-5682)</t>
  </si>
  <si>
    <t xml:space="preserve">2026-07-22</t>
  </si>
  <si>
    <t xml:space="preserve">Note: this scorer was designed to score OTHER people's posts (targeting who to comment on) — Job Search Relevance and Poster Reach &amp; Authority describe the poster, not you. Applied here to my own published posts as a retro exercise; Poster Reach &amp; Authority is constant (=3) across every row since it's always me, so it adds no real differentiation despite its 15% weight. Visibility Opportunity reinterpreted as reach achieved (impressions) rather than room in an existing comment thread. Comments so far = actual comment count received, not pre-comment thread size.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</si>
</sst>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5" min="3" style="1" width="3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39" hidden="false" customHeight="true" outlineLevel="0" collapsed="false">
      <c r="A5" s="5" t="s">
        <v>7</v>
      </c>
      <c r="B5" s="6" t="n">
        <v>0.3</v>
      </c>
      <c r="C5" s="5" t="s">
        <v>8</v>
      </c>
      <c r="D5" s="5" t="s">
        <v>9</v>
      </c>
      <c r="E5" s="5" t="s">
        <v>10</v>
      </c>
    </row>
    <row r="6" customFormat="false" ht="39" hidden="false" customHeight="true" outlineLevel="0" collapsed="false">
      <c r="A6" s="5" t="s">
        <v>11</v>
      </c>
      <c r="B6" s="6" t="n">
        <v>0.25</v>
      </c>
      <c r="C6" s="5" t="s">
        <v>12</v>
      </c>
      <c r="D6" s="5" t="s">
        <v>13</v>
      </c>
      <c r="E6" s="5" t="s">
        <v>14</v>
      </c>
    </row>
    <row r="7" customFormat="false" ht="26.25" hidden="false" customHeight="true" outlineLevel="0" collapsed="false">
      <c r="A7" s="5" t="s">
        <v>15</v>
      </c>
      <c r="B7" s="6" t="n">
        <v>0.2</v>
      </c>
      <c r="C7" s="5" t="s">
        <v>16</v>
      </c>
      <c r="D7" s="5" t="s">
        <v>17</v>
      </c>
      <c r="E7" s="5" t="s">
        <v>18</v>
      </c>
    </row>
    <row r="8" customFormat="false" ht="26.25" hidden="false" customHeight="true" outlineLevel="0" collapsed="false">
      <c r="A8" s="5" t="s">
        <v>19</v>
      </c>
      <c r="B8" s="6" t="n">
        <v>0.15</v>
      </c>
      <c r="C8" s="5" t="s">
        <v>20</v>
      </c>
      <c r="D8" s="5" t="s">
        <v>21</v>
      </c>
      <c r="E8" s="5" t="s">
        <v>22</v>
      </c>
    </row>
    <row r="9" customFormat="false" ht="26.25" hidden="false" customHeight="true" outlineLevel="0" collapsed="false">
      <c r="A9" s="5" t="s">
        <v>23</v>
      </c>
      <c r="B9" s="6" t="n">
        <v>0.05</v>
      </c>
      <c r="C9" s="5" t="s">
        <v>24</v>
      </c>
      <c r="D9" s="5" t="s">
        <v>25</v>
      </c>
      <c r="E9" s="5" t="s">
        <v>26</v>
      </c>
    </row>
    <row r="10" customFormat="false" ht="26.25" hidden="false" customHeight="true" outlineLevel="0" collapsed="false">
      <c r="A10" s="5" t="s">
        <v>27</v>
      </c>
      <c r="B10" s="6" t="n">
        <v>0.05</v>
      </c>
      <c r="C10" s="5" t="s">
        <v>28</v>
      </c>
      <c r="D10" s="5" t="s">
        <v>29</v>
      </c>
      <c r="E10" s="5" t="s">
        <v>30</v>
      </c>
    </row>
    <row r="11" customFormat="false" ht="15" hidden="false" customHeight="true" outlineLevel="0" collapsed="false">
      <c r="A11" s="7" t="s">
        <v>31</v>
      </c>
      <c r="B11" s="8" t="n">
        <f aca="false">SUM(B5:B10)</f>
        <v>1</v>
      </c>
      <c r="C11" s="9"/>
      <c r="D11" s="9"/>
      <c r="E11" s="9"/>
    </row>
    <row r="12" customFormat="false" ht="15" hidden="false" customHeight="true" outlineLevel="0" collapsed="false">
      <c r="A12" s="10" t="s">
        <v>32</v>
      </c>
      <c r="B12" s="10" t="str">
        <f aca="false">IF(B11=1,"✓ OK, weights sum to 100%","⚠ Fix weights, must total 100%")</f>
        <v>✓ OK, weights sum to 100%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10" min="7" style="1" width="16"/>
    <col collapsed="false" customWidth="true" hidden="false" outlineLevel="0" max="12" min="11" style="1" width="14"/>
    <col collapsed="false" customWidth="true" hidden="false" outlineLevel="0" max="13" min="13" style="1" width="12"/>
    <col collapsed="false" customWidth="true" hidden="false" outlineLevel="0" max="14" min="14" style="1" width="8"/>
    <col collapsed="false" customWidth="true" hidden="false" outlineLevel="0" max="15" min="15" style="1" width="12"/>
  </cols>
  <sheetData>
    <row r="1" customFormat="false" ht="15.75" hidden="false" customHeight="true" outlineLevel="0" collapsed="false">
      <c r="A1" s="11" t="s">
        <v>33</v>
      </c>
    </row>
    <row r="2" customFormat="false" ht="15" hidden="false" customHeight="true" outlineLevel="0" collapsed="false">
      <c r="A2" s="3" t="s">
        <v>34</v>
      </c>
    </row>
    <row r="4" customFormat="false" ht="39" hidden="false" customHeight="tru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45</v>
      </c>
      <c r="L4" s="4" t="s">
        <v>46</v>
      </c>
      <c r="M4" s="4" t="s">
        <v>47</v>
      </c>
      <c r="N4" s="4" t="s">
        <v>48</v>
      </c>
      <c r="O4" s="4" t="s">
        <v>49</v>
      </c>
    </row>
    <row r="5" customFormat="false" ht="15" hidden="false" customHeight="true" outlineLevel="0" collapsed="false">
      <c r="A5" s="12" t="s">
        <v>50</v>
      </c>
      <c r="B5" s="12" t="s">
        <v>51</v>
      </c>
      <c r="C5" s="12" t="s">
        <v>52</v>
      </c>
      <c r="D5" s="12" t="n">
        <v>1500</v>
      </c>
      <c r="E5" s="12" t="n">
        <v>2</v>
      </c>
      <c r="F5" s="12" t="s">
        <v>53</v>
      </c>
      <c r="G5" s="13" t="n">
        <v>5</v>
      </c>
      <c r="H5" s="13" t="n">
        <v>5</v>
      </c>
      <c r="I5" s="13" t="n">
        <v>4</v>
      </c>
      <c r="J5" s="13" t="n">
        <v>4</v>
      </c>
      <c r="K5" s="13" t="n">
        <v>5</v>
      </c>
      <c r="L5" s="13" t="n">
        <v>4</v>
      </c>
      <c r="M5" s="14" t="n">
        <f aca="false">G5*Weights!$B$5+H5*Weights!$B$6+I5*Weights!$B$7+J5*Weights!$B$8+K5*Weights!$B$9+L5*Weights!$B$10</f>
        <v>4.6</v>
      </c>
      <c r="N5" s="15" t="n">
        <f aca="false">IF(M5="","",RANK(M5,$M$5:$M$24,0))</f>
        <v>1</v>
      </c>
      <c r="O5" s="15" t="str">
        <f aca="false">IF(N5="","",IF(N5&lt;=2,"YES","no"))</f>
        <v>YES</v>
      </c>
    </row>
    <row r="6" customFormat="false" ht="15" hidden="false" customHeight="true" outlineLevel="0" collapsed="false">
      <c r="A6" s="12" t="s">
        <v>54</v>
      </c>
      <c r="B6" s="12" t="s">
        <v>55</v>
      </c>
      <c r="C6" s="12" t="s">
        <v>56</v>
      </c>
      <c r="D6" s="12" t="n">
        <v>769</v>
      </c>
      <c r="E6" s="12" t="n">
        <v>3</v>
      </c>
      <c r="F6" s="12" t="s">
        <v>57</v>
      </c>
      <c r="G6" s="13" t="n">
        <v>2</v>
      </c>
      <c r="H6" s="13" t="n">
        <v>4</v>
      </c>
      <c r="I6" s="13" t="n">
        <v>3</v>
      </c>
      <c r="J6" s="13" t="n">
        <v>3</v>
      </c>
      <c r="K6" s="13" t="n">
        <v>5</v>
      </c>
      <c r="L6" s="13" t="n">
        <v>4</v>
      </c>
      <c r="M6" s="14" t="n">
        <f aca="false">IF(G6="","",G6*Weights!$B$5+H6*Weights!$B$6+I6*Weights!$B$7+J6*Weights!$B$8+K6*Weights!$B$9+L6*Weights!$B$10)</f>
        <v>3.1</v>
      </c>
      <c r="N6" s="15" t="n">
        <f aca="false">IF(M6="","",RANK(M6,$M$5:$M$24,0))</f>
        <v>4</v>
      </c>
      <c r="O6" s="15" t="str">
        <f aca="false">IF(N6="","",IF(N6&lt;=2,"YES","no"))</f>
        <v>no</v>
      </c>
    </row>
    <row r="7" customFormat="false" ht="15" hidden="false" customHeight="true" outlineLevel="0" collapsed="false">
      <c r="A7" s="12" t="s">
        <v>58</v>
      </c>
      <c r="B7" s="12" t="s">
        <v>55</v>
      </c>
      <c r="C7" s="12" t="s">
        <v>56</v>
      </c>
      <c r="D7" s="12" t="n">
        <v>769</v>
      </c>
      <c r="E7" s="12" t="n">
        <v>0</v>
      </c>
      <c r="F7" s="12" t="s">
        <v>59</v>
      </c>
      <c r="G7" s="13" t="n">
        <v>2</v>
      </c>
      <c r="H7" s="13" t="n">
        <v>2</v>
      </c>
      <c r="I7" s="13" t="n">
        <v>5</v>
      </c>
      <c r="J7" s="13" t="n">
        <v>3</v>
      </c>
      <c r="K7" s="13" t="n">
        <v>4</v>
      </c>
      <c r="L7" s="13" t="n">
        <v>2</v>
      </c>
      <c r="M7" s="14" t="n">
        <f aca="false">IF(G7="","",G7*Weights!$B$5+H7*Weights!$B$6+I7*Weights!$B$7+J7*Weights!$B$8+K7*Weights!$B$9+L7*Weights!$B$10)</f>
        <v>2.85</v>
      </c>
      <c r="N7" s="15" t="n">
        <f aca="false">IF(M7="","",RANK(M7,$M$5:$M$24,0))</f>
        <v>5</v>
      </c>
      <c r="O7" s="15" t="str">
        <f aca="false">IF(N7="","",IF(N7&lt;=2,"YES","no"))</f>
        <v>no</v>
      </c>
    </row>
    <row r="8" customFormat="false" ht="15" hidden="false" customHeight="true" outlineLevel="0" collapsed="false">
      <c r="A8" s="12" t="s">
        <v>60</v>
      </c>
      <c r="B8" s="12" t="s">
        <v>55</v>
      </c>
      <c r="C8" s="12" t="s">
        <v>56</v>
      </c>
      <c r="D8" s="12" t="n">
        <v>769</v>
      </c>
      <c r="E8" s="12" t="n">
        <v>0</v>
      </c>
      <c r="F8" s="12" t="s">
        <v>61</v>
      </c>
      <c r="G8" s="13" t="n">
        <v>4</v>
      </c>
      <c r="H8" s="13" t="n">
        <v>5</v>
      </c>
      <c r="I8" s="13" t="n">
        <v>3</v>
      </c>
      <c r="J8" s="13" t="n">
        <v>3</v>
      </c>
      <c r="K8" s="13" t="n">
        <v>5</v>
      </c>
      <c r="L8" s="13" t="n">
        <v>2</v>
      </c>
      <c r="M8" s="14" t="n">
        <f aca="false">IF(G8="","",G8*Weights!$B$5+H8*Weights!$B$6+I8*Weights!$B$7+J8*Weights!$B$8+K8*Weights!$B$9+L8*Weights!$B$10)</f>
        <v>3.85</v>
      </c>
      <c r="N8" s="15" t="n">
        <f aca="false">IF(M8="","",RANK(M8,$M$5:$M$24,0))</f>
        <v>3</v>
      </c>
      <c r="O8" s="15" t="str">
        <f aca="false">IF(N8="","",IF(N8&lt;=2,"YES","no"))</f>
        <v>no</v>
      </c>
    </row>
    <row r="9" customFormat="false" ht="15" hidden="false" customHeight="true" outlineLevel="0" collapsed="false">
      <c r="A9" s="12" t="s">
        <v>62</v>
      </c>
      <c r="B9" s="12" t="s">
        <v>55</v>
      </c>
      <c r="C9" s="12" t="s">
        <v>56</v>
      </c>
      <c r="D9" s="12" t="n">
        <v>769</v>
      </c>
      <c r="E9" s="12" t="n">
        <v>0</v>
      </c>
      <c r="F9" s="12" t="s">
        <v>57</v>
      </c>
      <c r="G9" s="13" t="n">
        <v>2</v>
      </c>
      <c r="H9" s="13" t="n">
        <v>3</v>
      </c>
      <c r="I9" s="13" t="n">
        <v>3</v>
      </c>
      <c r="J9" s="13" t="n">
        <v>3</v>
      </c>
      <c r="K9" s="13" t="n">
        <v>4</v>
      </c>
      <c r="L9" s="13" t="n">
        <v>4</v>
      </c>
      <c r="M9" s="14" t="n">
        <f aca="false">IF(G9="","",G9*Weights!$B$5+H9*Weights!$B$6+I9*Weights!$B$7+J9*Weights!$B$8+K9*Weights!$B$9+L9*Weights!$B$10)</f>
        <v>2.8</v>
      </c>
      <c r="N9" s="15" t="n">
        <f aca="false">IF(M9="","",RANK(M9,$M$5:$M$24,0))</f>
        <v>6</v>
      </c>
      <c r="O9" s="15" t="str">
        <f aca="false">IF(N9="","",IF(N9&lt;=2,"YES","no"))</f>
        <v>no</v>
      </c>
    </row>
    <row r="10" customFormat="false" ht="15" hidden="false" customHeight="true" outlineLevel="0" collapsed="false">
      <c r="A10" s="12" t="s">
        <v>63</v>
      </c>
      <c r="B10" s="12" t="s">
        <v>55</v>
      </c>
      <c r="C10" s="12" t="s">
        <v>56</v>
      </c>
      <c r="D10" s="12" t="n">
        <v>769</v>
      </c>
      <c r="E10" s="12" t="n">
        <v>0</v>
      </c>
      <c r="F10" s="12" t="s">
        <v>64</v>
      </c>
      <c r="G10" s="13" t="n">
        <v>5</v>
      </c>
      <c r="H10" s="13" t="n">
        <v>4</v>
      </c>
      <c r="I10" s="13" t="n">
        <v>4</v>
      </c>
      <c r="J10" s="13" t="n">
        <v>3</v>
      </c>
      <c r="K10" s="13" t="n">
        <v>5</v>
      </c>
      <c r="L10" s="13" t="n">
        <v>1</v>
      </c>
      <c r="M10" s="14" t="n">
        <f aca="false">IF(G10="","",G10*Weights!$B$5+H10*Weights!$B$6+I10*Weights!$B$7+J10*Weights!$B$8+K10*Weights!$B$9+L10*Weights!$B$10)</f>
        <v>4.05</v>
      </c>
      <c r="N10" s="15" t="n">
        <f aca="false">IF(M10="","",RANK(M10,$M$5:$M$24,0))</f>
        <v>2</v>
      </c>
      <c r="O10" s="15" t="str">
        <f aca="false">IF(N10="","",IF(N10&lt;=2,"YES","no"))</f>
        <v>YES</v>
      </c>
    </row>
    <row r="11" customFormat="false" ht="15" hidden="false" customHeight="true" outlineLevel="0" collapsed="false">
      <c r="A11" s="12"/>
      <c r="B11" s="12"/>
      <c r="C11" s="12"/>
      <c r="D11" s="12"/>
      <c r="E11" s="12"/>
      <c r="F11" s="12"/>
      <c r="G11" s="13"/>
      <c r="H11" s="13"/>
      <c r="I11" s="13"/>
      <c r="J11" s="13"/>
      <c r="K11" s="13"/>
      <c r="L11" s="13"/>
      <c r="M11" s="14" t="str">
        <f aca="false">IF(G11="","",G11*Weights!$B$5+H11*Weights!$B$6+I11*Weights!$B$7+J11*Weights!$B$8+K11*Weights!$B$9+L11*Weights!$B$10)</f>
        <v/>
      </c>
      <c r="N11" s="15" t="str">
        <f aca="false">IF(M11="","",RANK(M11,$M$5:$M$24,0))</f>
        <v/>
      </c>
      <c r="O11" s="15" t="str">
        <f aca="false">IF(N11="","",IF(N11&lt;=2,"YES","no"))</f>
        <v/>
      </c>
    </row>
    <row r="12" customFormat="false" ht="15" hidden="false" customHeight="true" outlineLevel="0" collapsed="false">
      <c r="A12" s="12"/>
      <c r="B12" s="12"/>
      <c r="C12" s="12"/>
      <c r="D12" s="12"/>
      <c r="E12" s="12"/>
      <c r="F12" s="12"/>
      <c r="G12" s="13"/>
      <c r="H12" s="13"/>
      <c r="I12" s="13"/>
      <c r="J12" s="13"/>
      <c r="K12" s="13"/>
      <c r="L12" s="13"/>
      <c r="M12" s="14" t="str">
        <f aca="false">IF(G12="","",G12*Weights!$B$5+H12*Weights!$B$6+I12*Weights!$B$7+J12*Weights!$B$8+K12*Weights!$B$9+L12*Weights!$B$10)</f>
        <v/>
      </c>
      <c r="N12" s="15" t="str">
        <f aca="false">IF(M12="","",RANK(M12,$M$5:$M$24,0))</f>
        <v/>
      </c>
      <c r="O12" s="15" t="str">
        <f aca="false">IF(N12="","",IF(N12&lt;=2,"YES","no"))</f>
        <v/>
      </c>
    </row>
    <row r="13" customFormat="false" ht="15" hidden="false" customHeight="true" outlineLevel="0" collapsed="false">
      <c r="A13" s="12"/>
      <c r="B13" s="12"/>
      <c r="C13" s="12"/>
      <c r="D13" s="12"/>
      <c r="E13" s="12"/>
      <c r="F13" s="12"/>
      <c r="G13" s="13"/>
      <c r="H13" s="13"/>
      <c r="I13" s="13"/>
      <c r="J13" s="13"/>
      <c r="K13" s="13"/>
      <c r="L13" s="13"/>
      <c r="M13" s="14" t="str">
        <f aca="false">IF(G13="","",G13*Weights!$B$5+H13*Weights!$B$6+I13*Weights!$B$7+J13*Weights!$B$8+K13*Weights!$B$9+L13*Weights!$B$10)</f>
        <v/>
      </c>
      <c r="N13" s="15" t="str">
        <f aca="false">IF(M13="","",RANK(M13,$M$5:$M$24,0))</f>
        <v/>
      </c>
      <c r="O13" s="15" t="str">
        <f aca="false">IF(N13="","",IF(N13&lt;=2,"YES","no"))</f>
        <v/>
      </c>
    </row>
    <row r="14" customFormat="false" ht="15" hidden="false" customHeight="true" outlineLevel="0" collapsed="false">
      <c r="A14" s="12"/>
      <c r="B14" s="12"/>
      <c r="C14" s="12"/>
      <c r="D14" s="12"/>
      <c r="E14" s="12"/>
      <c r="F14" s="12"/>
      <c r="G14" s="13"/>
      <c r="H14" s="13"/>
      <c r="I14" s="13"/>
      <c r="J14" s="13"/>
      <c r="K14" s="13"/>
      <c r="L14" s="13"/>
      <c r="M14" s="14" t="str">
        <f aca="false">IF(G14="","",G14*Weights!$B$5+H14*Weights!$B$6+I14*Weights!$B$7+J14*Weights!$B$8+K14*Weights!$B$9+L14*Weights!$B$10)</f>
        <v/>
      </c>
      <c r="N14" s="15" t="str">
        <f aca="false">IF(M14="","",RANK(M14,$M$5:$M$24,0))</f>
        <v/>
      </c>
      <c r="O14" s="15" t="str">
        <f aca="false">IF(N14="","",IF(N14&lt;=2,"YES","no"))</f>
        <v/>
      </c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3"/>
      <c r="H15" s="13"/>
      <c r="I15" s="13"/>
      <c r="J15" s="13"/>
      <c r="K15" s="13"/>
      <c r="L15" s="13"/>
      <c r="M15" s="14" t="str">
        <f aca="false">IF(G15="","",G15*Weights!$B$5+H15*Weights!$B$6+I15*Weights!$B$7+J15*Weights!$B$8+K15*Weights!$B$9+L15*Weights!$B$10)</f>
        <v/>
      </c>
      <c r="N15" s="15" t="str">
        <f aca="false">IF(M15="","",RANK(M15,$M$5:$M$24,0))</f>
        <v/>
      </c>
      <c r="O15" s="15" t="str">
        <f aca="false">IF(N15="","",IF(N15&lt;=2,"YES","no"))</f>
        <v/>
      </c>
    </row>
    <row r="16" customFormat="false" ht="15" hidden="false" customHeight="true" outlineLevel="0" collapsed="false">
      <c r="A16" s="12"/>
      <c r="B16" s="12"/>
      <c r="C16" s="12"/>
      <c r="D16" s="12"/>
      <c r="E16" s="12"/>
      <c r="F16" s="12"/>
      <c r="G16" s="13"/>
      <c r="H16" s="13"/>
      <c r="I16" s="13"/>
      <c r="J16" s="13"/>
      <c r="K16" s="13"/>
      <c r="L16" s="13"/>
      <c r="M16" s="14" t="str">
        <f aca="false">IF(G16="","",G16*Weights!$B$5+H16*Weights!$B$6+I16*Weights!$B$7+J16*Weights!$B$8+K16*Weights!$B$9+L16*Weights!$B$10)</f>
        <v/>
      </c>
      <c r="N16" s="15" t="str">
        <f aca="false">IF(M16="","",RANK(M16,$M$5:$M$24,0))</f>
        <v/>
      </c>
      <c r="O16" s="15" t="str">
        <f aca="false">IF(N16="","",IF(N16&lt;=2,"YES","no"))</f>
        <v/>
      </c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3"/>
      <c r="H17" s="13"/>
      <c r="I17" s="13"/>
      <c r="J17" s="13"/>
      <c r="K17" s="13"/>
      <c r="L17" s="13"/>
      <c r="M17" s="14" t="str">
        <f aca="false">IF(G17="","",G17*Weights!$B$5+H17*Weights!$B$6+I17*Weights!$B$7+J17*Weights!$B$8+K17*Weights!$B$9+L17*Weights!$B$10)</f>
        <v/>
      </c>
      <c r="N17" s="15" t="str">
        <f aca="false">IF(M17="","",RANK(M17,$M$5:$M$24,0))</f>
        <v/>
      </c>
      <c r="O17" s="15" t="str">
        <f aca="false">IF(N17="","",IF(N17&lt;=2,"YES","no"))</f>
        <v/>
      </c>
    </row>
    <row r="18" customFormat="false" ht="15" hidden="false" customHeight="true" outlineLevel="0" collapsed="false">
      <c r="A18" s="12"/>
      <c r="B18" s="12"/>
      <c r="C18" s="12"/>
      <c r="D18" s="12"/>
      <c r="E18" s="12"/>
      <c r="F18" s="12"/>
      <c r="G18" s="13"/>
      <c r="H18" s="13"/>
      <c r="I18" s="13"/>
      <c r="J18" s="13"/>
      <c r="K18" s="13"/>
      <c r="L18" s="13"/>
      <c r="M18" s="14" t="str">
        <f aca="false">IF(G18="","",G18*Weights!$B$5+H18*Weights!$B$6+I18*Weights!$B$7+J18*Weights!$B$8+K18*Weights!$B$9+L18*Weights!$B$10)</f>
        <v/>
      </c>
      <c r="N18" s="15" t="str">
        <f aca="false">IF(M18="","",RANK(M18,$M$5:$M$24,0))</f>
        <v/>
      </c>
      <c r="O18" s="15" t="str">
        <f aca="false">IF(N18="","",IF(N18&lt;=2,"YES","no"))</f>
        <v/>
      </c>
    </row>
    <row r="19" customFormat="false" ht="15" hidden="false" customHeight="true" outlineLevel="0" collapsed="false">
      <c r="A19" s="12"/>
      <c r="B19" s="12"/>
      <c r="C19" s="12"/>
      <c r="D19" s="12"/>
      <c r="E19" s="12"/>
      <c r="F19" s="12"/>
      <c r="G19" s="13"/>
      <c r="H19" s="13"/>
      <c r="I19" s="13"/>
      <c r="J19" s="13"/>
      <c r="K19" s="13"/>
      <c r="L19" s="13"/>
      <c r="M19" s="14" t="str">
        <f aca="false">IF(G19="","",G19*Weights!$B$5+H19*Weights!$B$6+I19*Weights!$B$7+J19*Weights!$B$8+K19*Weights!$B$9+L19*Weights!$B$10)</f>
        <v/>
      </c>
      <c r="N19" s="15" t="str">
        <f aca="false">IF(M19="","",RANK(M19,$M$5:$M$24,0))</f>
        <v/>
      </c>
      <c r="O19" s="15" t="str">
        <f aca="false">IF(N19="","",IF(N19&lt;=2,"YES","no"))</f>
        <v/>
      </c>
    </row>
    <row r="20" customFormat="false" ht="15" hidden="false" customHeight="true" outlineLevel="0" collapsed="false">
      <c r="A20" s="12"/>
      <c r="B20" s="12"/>
      <c r="C20" s="12"/>
      <c r="D20" s="12"/>
      <c r="E20" s="12"/>
      <c r="F20" s="12"/>
      <c r="G20" s="13"/>
      <c r="H20" s="13"/>
      <c r="I20" s="13"/>
      <c r="J20" s="13"/>
      <c r="K20" s="13"/>
      <c r="L20" s="13"/>
      <c r="M20" s="14" t="str">
        <f aca="false">IF(G20="","",G20*Weights!$B$5+H20*Weights!$B$6+I20*Weights!$B$7+J20*Weights!$B$8+K20*Weights!$B$9+L20*Weights!$B$10)</f>
        <v/>
      </c>
      <c r="N20" s="15" t="str">
        <f aca="false">IF(M20="","",RANK(M20,$M$5:$M$24,0))</f>
        <v/>
      </c>
      <c r="O20" s="15" t="str">
        <f aca="false">IF(N20="","",IF(N20&lt;=2,"YES","no"))</f>
        <v/>
      </c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3"/>
      <c r="H21" s="13"/>
      <c r="I21" s="13"/>
      <c r="J21" s="13"/>
      <c r="K21" s="13"/>
      <c r="L21" s="13"/>
      <c r="M21" s="14" t="str">
        <f aca="false">IF(G21="","",G21*Weights!$B$5+H21*Weights!$B$6+I21*Weights!$B$7+J21*Weights!$B$8+K21*Weights!$B$9+L21*Weights!$B$10)</f>
        <v/>
      </c>
      <c r="N21" s="15" t="str">
        <f aca="false">IF(M21="","",RANK(M21,$M$5:$M$24,0))</f>
        <v/>
      </c>
      <c r="O21" s="15" t="str">
        <f aca="false">IF(N21="","",IF(N21&lt;=2,"YES","no"))</f>
        <v/>
      </c>
    </row>
    <row r="22" customFormat="false" ht="15" hidden="false" customHeight="true" outlineLevel="0" collapsed="false">
      <c r="A22" s="12"/>
      <c r="B22" s="12"/>
      <c r="C22" s="12"/>
      <c r="D22" s="12"/>
      <c r="E22" s="12"/>
      <c r="F22" s="12"/>
      <c r="G22" s="13"/>
      <c r="H22" s="13"/>
      <c r="I22" s="13"/>
      <c r="J22" s="13"/>
      <c r="K22" s="13"/>
      <c r="L22" s="13"/>
      <c r="M22" s="14" t="str">
        <f aca="false">IF(G22="","",G22*Weights!$B$5+H22*Weights!$B$6+I22*Weights!$B$7+J22*Weights!$B$8+K22*Weights!$B$9+L22*Weights!$B$10)</f>
        <v/>
      </c>
      <c r="N22" s="15" t="str">
        <f aca="false">IF(M22="","",RANK(M22,$M$5:$M$24,0))</f>
        <v/>
      </c>
      <c r="O22" s="15" t="str">
        <f aca="false">IF(N22="","",IF(N22&lt;=2,"YES","no"))</f>
        <v/>
      </c>
    </row>
    <row r="23" customFormat="false" ht="15" hidden="false" customHeight="true" outlineLevel="0" collapsed="false">
      <c r="A23" s="12"/>
      <c r="B23" s="12"/>
      <c r="C23" s="12"/>
      <c r="D23" s="12"/>
      <c r="E23" s="12"/>
      <c r="F23" s="12"/>
      <c r="G23" s="13"/>
      <c r="H23" s="13"/>
      <c r="I23" s="13"/>
      <c r="J23" s="13"/>
      <c r="K23" s="13"/>
      <c r="L23" s="13"/>
      <c r="M23" s="14" t="str">
        <f aca="false">IF(G23="","",G23*Weights!$B$5+H23*Weights!$B$6+I23*Weights!$B$7+J23*Weights!$B$8+K23*Weights!$B$9+L23*Weights!$B$10)</f>
        <v/>
      </c>
      <c r="N23" s="15" t="str">
        <f aca="false">IF(M23="","",RANK(M23,$M$5:$M$24,0))</f>
        <v/>
      </c>
      <c r="O23" s="15" t="str">
        <f aca="false">IF(N23="","",IF(N23&lt;=2,"YES","no"))</f>
        <v/>
      </c>
    </row>
    <row r="24" customFormat="false" ht="15" hidden="false" customHeight="true" outlineLevel="0" collapsed="false">
      <c r="A24" s="12"/>
      <c r="B24" s="12"/>
      <c r="C24" s="12"/>
      <c r="D24" s="12"/>
      <c r="E24" s="12"/>
      <c r="F24" s="12"/>
      <c r="G24" s="13"/>
      <c r="H24" s="13"/>
      <c r="I24" s="13"/>
      <c r="J24" s="13"/>
      <c r="K24" s="13"/>
      <c r="L24" s="13"/>
      <c r="M24" s="14" t="str">
        <f aca="false">IF(G24="","",G24*Weights!$B$5+H24*Weights!$B$6+I24*Weights!$B$7+J24*Weights!$B$8+K24*Weights!$B$9+L24*Weights!$B$10)</f>
        <v/>
      </c>
      <c r="N24" s="15" t="str">
        <f aca="false">IF(M24="","",RANK(M24,$M$5:$M$24,0))</f>
        <v/>
      </c>
      <c r="O24" s="15" t="str">
        <f aca="false">IF(N24="","",IF(N24&lt;=2,"YES","no"))</f>
        <v/>
      </c>
    </row>
    <row r="26" customFormat="false" ht="45" hidden="false" customHeight="true" outlineLevel="0" collapsed="false">
      <c r="A26" s="16" t="s">
        <v>65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</sheetData>
  <mergeCells count="1">
    <mergeCell ref="A26:O26"/>
  </mergeCells>
  <dataValidations count="1">
    <dataValidation allowBlank="false" error="Enter a whole number 1-5" errorStyle="stop" errorTitle="Invalid score" operator="between" showDropDown="false" showErrorMessage="true" showInputMessage="false" sqref="G5:L2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2026-07-26T23:17:44Z</dcterms:created>
  <dc:creator>openpyxl</dc:creator>
  <dc:description/>
  <dc:language>en-US</dc:language>
  <cp:lastModifiedBy/>
  <dcterms:modified xsi:type="dcterms:W3CDTF">2026-07-26T23:29:04Z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